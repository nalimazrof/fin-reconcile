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ang\Documents\Developer\Finances\"/>
    </mc:Choice>
  </mc:AlternateContent>
  <xr:revisionPtr revIDLastSave="0" documentId="13_ncr:1_{2080EEFF-0ACF-4349-BEEF-D7BB419378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 assets" sheetId="2" r:id="rId1"/>
    <sheet name="2026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 a="1"/>
  <c r="G3" i="2" s="1"/>
  <c r="G2" i="2" a="1"/>
  <c r="G2" i="2" s="1"/>
  <c r="E2" i="2" a="1"/>
  <c r="E2" i="2" s="1"/>
  <c r="F2" i="2" s="1" a="1"/>
  <c r="F2" i="2" s="1"/>
  <c r="E3" i="2" a="1"/>
  <c r="E3" i="2" s="1"/>
  <c r="F3" i="2" s="1" a="1"/>
  <c r="F3" i="2" s="1"/>
  <c r="I1" i="3"/>
  <c r="F6" i="2" l="1"/>
  <c r="D6" i="2"/>
  <c r="E6" i="2"/>
  <c r="G6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<sst xmlns="http://schemas.openxmlformats.org/spreadsheetml/2006/main" count="33" uniqueCount="29">
  <si>
    <t>Date</t>
  </si>
  <si>
    <t>Amount</t>
  </si>
  <si>
    <t>from Account</t>
  </si>
  <si>
    <t>to Account</t>
  </si>
  <si>
    <t>Type</t>
  </si>
  <si>
    <t>Comments</t>
  </si>
  <si>
    <t>Subscription</t>
  </si>
  <si>
    <t>Label</t>
  </si>
  <si>
    <t>Chase Checking</t>
  </si>
  <si>
    <t>Salary</t>
  </si>
  <si>
    <t>Chase Savings</t>
  </si>
  <si>
    <t>Bank</t>
  </si>
  <si>
    <t>Name</t>
  </si>
  <si>
    <t>8-Jan-24</t>
  </si>
  <si>
    <t>Year2024</t>
  </si>
  <si>
    <t>Year2025</t>
  </si>
  <si>
    <t>Year2026</t>
  </si>
  <si>
    <t>Account#</t>
  </si>
  <si>
    <t>Routing#</t>
  </si>
  <si>
    <t>Card#</t>
  </si>
  <si>
    <t>Expiration Date</t>
  </si>
  <si>
    <t>CVV</t>
  </si>
  <si>
    <t>Auto Payment</t>
  </si>
  <si>
    <t>Available Credits</t>
  </si>
  <si>
    <t>APR</t>
  </si>
  <si>
    <t>Checking</t>
  </si>
  <si>
    <t>Chase</t>
  </si>
  <si>
    <t>Savings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</si>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</sst>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[$-409]mmm\-yy;@"/>
    <numFmt numFmtId="166" formatCode="m/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" fontId="0" fillId="0" borderId="0" xfId="0" applyNumberFormat="1"/>
    <xf numFmtId="44" fontId="0" fillId="0" borderId="0" xfId="0" applyNumberFormat="1"/>
    <xf numFmtId="10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14">
    <dxf>
      <numFmt numFmtId="34" formatCode="_(&quot;$&quot;* #,##0.00_);_(&quot;$&quot;* \(#,##0.00\);_(&quot;$&quot;* &quot;-&quot;??_);_(@_)"/>
    </dxf>
    <dxf>
      <numFmt numFmtId="14" formatCode="0.00%"/>
    </dxf>
    <dxf>
      <numFmt numFmtId="164" formatCode="&quot;$&quot;#,##0.00"/>
    </dxf>
    <dxf>
      <numFmt numFmtId="30" formatCode="@"/>
    </dxf>
    <dxf>
      <numFmt numFmtId="21" formatCode="d\-mmm"/>
    </dxf>
    <dxf>
      <numFmt numFmtId="30" formatCode="@"/>
    </dxf>
    <dxf>
      <numFmt numFmtId="1" formatCode="0"/>
    </dxf>
    <dxf>
      <numFmt numFmtId="1" formatCode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center" vertical="bottom"/>
    </dxf>
    <dxf>
      <numFmt numFmtId="34" formatCode="_(&quot;$&quot;* #,##0.00_);_(&quot;$&quot;* \(#,##0.00\);_(&quot;$&quot;* &quot;-&quot;??_);_(@_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ssets" displayName="Assets" ref="A1:P3" totalsRowShown="0">
  <autoFilter ref="A1:P3" xr:uid="{00000000-0009-0000-0100-000002000000}"/>
  <sortState xmlns:xlrd2="http://schemas.microsoft.com/office/spreadsheetml/2017/richdata2" ref="A2:P3">
    <sortCondition ref="A1:A3"/>
  </sortState>
  <tableColumns count="16">
    <tableColumn id="1" xr3:uid="{00000000-0010-0000-0100-000001000000}" name="Bank"/>
    <tableColumn id="2" xr3:uid="{00000000-0010-0000-0100-000002000000}" name="Type"/>
    <tableColumn id="3" xr3:uid="{00000000-0010-0000-0100-000003000000}" name="Name"/>
    <tableColumn id="4" xr3:uid="{00000000-0010-0000-0100-000004000000}" name="8-Jan-24" dataDxfId="10"/>
    <tableColumn id="6" xr3:uid="{00000000-0010-0000-0100-000006000000}" name="Year2024" dataDxfId="9">
      <calculatedColumnFormula array="1">D2-SUM(IF((#REF!=$C2), #REF!, 0))+SUM(IF((#REF!=$C2), #REF!, 0))</calculatedColumnFormula>
    </tableColumn>
    <tableColumn id="5" xr3:uid="{00000000-0010-0000-0100-000005000000}" name="Year2025" dataDxfId="8">
      <calculatedColumnFormula array="1">E2-SUM(IF((#REF!=$C2)*(#REF!&lt;=TODAY()), #REF!, 0))+SUM(IF((#REF!=$C2)*(#REF!&lt;=TODAY()), #REF!, 0))</calculatedColumnFormula>
    </tableColumn>
    <tableColumn id="16" xr3:uid="{00000000-0010-0000-0100-000010000000}" name="Year2026" dataDxfId="0">
      <calculatedColumnFormula array="1">-SUM(IF((Year2026[from Account]=$C2)*(Year2026[Date]&lt;=TODAY()), Year2026[Amount], 0))+SUM(IF((Year2026[to Account]=$C2)*(Year2026[Date]&lt;=TODAY()), Year2026[Amount], 0))</calculatedColumnFormula>
    </tableColumn>
    <tableColumn id="7" xr3:uid="{00000000-0010-0000-0100-000007000000}" name="Account#" dataDxfId="7"/>
    <tableColumn id="8" xr3:uid="{00000000-0010-0000-0100-000008000000}" name="Routing#" dataDxfId="6"/>
    <tableColumn id="9" xr3:uid="{00000000-0010-0000-0100-000009000000}" name="Card#" dataDxfId="5"/>
    <tableColumn id="10" xr3:uid="{00000000-0010-0000-0100-00000A000000}" name="Expiration Date" dataDxfId="4"/>
    <tableColumn id="11" xr3:uid="{00000000-0010-0000-0100-00000B000000}" name="CVV" dataDxfId="3"/>
    <tableColumn id="12" xr3:uid="{00000000-0010-0000-0100-00000C000000}" name="Auto Payment"/>
    <tableColumn id="13" xr3:uid="{00000000-0010-0000-0100-00000D000000}" name="Available Credits" dataDxfId="2"/>
    <tableColumn id="14" xr3:uid="{00000000-0010-0000-0100-00000E000000}" name="APR" dataDxfId="1"/>
    <tableColumn id="15" xr3:uid="{00000000-0010-0000-0100-00000F000000}" name="Comment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Year2026" displayName="Year2026" ref="A1:H4" totalsRowShown="0">
  <autoFilter ref="A1:H4" xr:uid="{00000000-0009-0000-0100-000003000000}"/>
  <sortState xmlns:xlrd2="http://schemas.microsoft.com/office/spreadsheetml/2017/richdata2" ref="A2:H380">
    <sortCondition ref="A1:A380"/>
  </sortState>
  <tableColumns count="8">
    <tableColumn id="1" xr3:uid="{00000000-0010-0000-0200-000001000000}" name="Date" dataDxfId="13"/>
    <tableColumn id="2" xr3:uid="{00000000-0010-0000-0200-000002000000}" name="Amount" dataDxfId="12"/>
    <tableColumn id="3" xr3:uid="{00000000-0010-0000-0200-000003000000}" name="from Account"/>
    <tableColumn id="4" xr3:uid="{00000000-0010-0000-0200-000004000000}" name="to Account"/>
    <tableColumn id="5" xr3:uid="{00000000-0010-0000-0200-000005000000}" name="Type"/>
    <tableColumn id="7" xr3:uid="{00000000-0010-0000-0200-000007000000}" name="Comments"/>
    <tableColumn id="10" xr3:uid="{00000000-0010-0000-0200-00000A000000}" name="Subscription" dataDxfId="11"/>
    <tableColumn id="9" xr3:uid="{00000000-0010-0000-0200-000009000000}" name="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P11"/>
  <sheetViews>
    <sheetView tabSelected="1" zoomScaleNormal="100" workbookViewId="0">
      <pane ySplit="1" topLeftCell="A2" activePane="bottomLeft" state="frozen"/>
      <selection activeCell="G1" sqref="G1"/>
      <selection pane="bottomLeft" activeCell="G9" sqref="G9"/>
    </sheetView>
  </sheetViews>
  <sheetFormatPr defaultRowHeight="15" x14ac:dyDescent="0.25"/>
  <cols>
    <col min="1" max="1" width="18" bestFit="1" customWidth="1"/>
    <col min="2" max="2" width="7.7109375" bestFit="1" customWidth="1"/>
    <col min="3" max="3" width="22.28515625" bestFit="1" customWidth="1"/>
    <col min="4" max="5" width="12.28515625" style="3" hidden="1" customWidth="1"/>
    <col min="6" max="6" width="12.5703125" hidden="1" customWidth="1"/>
    <col min="7" max="7" width="12.5703125" customWidth="1"/>
    <col min="8" max="8" width="17.140625" style="2" customWidth="1"/>
    <col min="9" max="9" width="12.28515625" style="2" customWidth="1"/>
    <col min="10" max="10" width="30.7109375" customWidth="1"/>
    <col min="11" max="11" width="14.7109375" customWidth="1"/>
    <col min="12" max="12" width="5.7109375" customWidth="1"/>
    <col min="13" max="13" width="13.85546875" customWidth="1"/>
    <col min="14" max="14" width="15.5703125" customWidth="1"/>
    <col min="15" max="15" width="7.5703125" bestFit="1" customWidth="1"/>
    <col min="16" max="16" width="43.28515625" bestFit="1" customWidth="1"/>
    <col min="19" max="19" width="10.7109375" bestFit="1" customWidth="1"/>
  </cols>
  <sheetData>
    <row r="1" spans="1:16" x14ac:dyDescent="0.25">
      <c r="A1" t="s">
        <v>11</v>
      </c>
      <c r="B1" t="s">
        <v>4</v>
      </c>
      <c r="C1" t="s">
        <v>12</v>
      </c>
      <c r="D1" s="9" t="s">
        <v>13</v>
      </c>
      <c r="E1" s="9" t="s">
        <v>14</v>
      </c>
      <c r="F1" s="8" t="s">
        <v>15</v>
      </c>
      <c r="G1" s="8" t="s">
        <v>16</v>
      </c>
      <c r="H1" s="2" t="s">
        <v>17</v>
      </c>
      <c r="I1" s="2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5</v>
      </c>
    </row>
    <row r="2" spans="1:16" x14ac:dyDescent="0.25">
      <c r="A2" t="s">
        <v>26</v>
      </c>
      <c r="B2" t="s">
        <v>25</v>
      </c>
      <c r="C2" t="s">
        <v>8</v>
      </c>
      <c r="D2" s="3">
        <v>4825.1499999999996</v>
      </c>
      <c r="E2" s="3" t="e">
        <f t="array" ref="E2">D2-SUM(IF((#REF!=$C2), #REF!, 0))+SUM(IF((#REF!=$C2), #REF!, 0))</f>
        <v>#REF!</v>
      </c>
      <c r="F2" s="3" t="e">
        <f t="array" aca="1" ref="F2" ca="1">E2-SUM(IF((#REF!=$C2)*(#REF!&lt;=TODAY()), #REF!, 0))+SUM(IF((#REF!=$C2)*(#REF!&lt;=TODAY()), #REF!, 0))</f>
        <v>#REF!</v>
      </c>
      <c r="G2" s="3" cm="1">
        <f t="array" aca="1" ref="G2" ca="1">-SUM(IF((Year2026[from Account]=$C2)*(Year2026[Date]&lt;=TODAY()), Year2026[Amount], 0))+SUM(IF((Year2026[to Account]=$C2)*(Year2026[Date]&lt;=TODAY()), Year2026[Amount], 0))</f>
        <v>236.72</v>
      </c>
      <c r="J2" s="1"/>
      <c r="K2" s="7"/>
      <c r="L2" s="1"/>
      <c r="N2" s="5"/>
      <c r="O2" s="4"/>
    </row>
    <row r="3" spans="1:16" x14ac:dyDescent="0.25">
      <c r="A3" t="s">
        <v>26</v>
      </c>
      <c r="B3" t="s">
        <v>27</v>
      </c>
      <c r="C3" t="s">
        <v>10</v>
      </c>
      <c r="D3" s="3">
        <v>8747.2199999999993</v>
      </c>
      <c r="E3" s="3" t="e">
        <f t="array" ref="E3">D3-SUM(IF((#REF!=$C3), #REF!, 0))+SUM(IF((#REF!=$C3), #REF!, 0))</f>
        <v>#REF!</v>
      </c>
      <c r="F3" s="3" t="e">
        <f t="array" aca="1" ref="F3" ca="1">E3-SUM(IF((#REF!=$C3)*(#REF!&lt;=TODAY()), #REF!, 0))+SUM(IF((#REF!=$C3)*(#REF!&lt;=TODAY()), #REF!, 0))</f>
        <v>#REF!</v>
      </c>
      <c r="G3" s="3" cm="1">
        <f t="array" aca="1" ref="G3" ca="1">-SUM(IF((Year2026[from Account]=$C3)*(Year2026[Date]&lt;=TODAY()), Year2026[Amount], 0))+SUM(IF((Year2026[to Account]=$C3)*(Year2026[Date]&lt;=TODAY()), Year2026[Amount], 0))</f>
        <v>0</v>
      </c>
      <c r="J3" s="1"/>
      <c r="K3" s="7"/>
      <c r="L3" s="1"/>
      <c r="N3" s="5"/>
      <c r="O3" s="4"/>
    </row>
    <row r="4" spans="1:16" x14ac:dyDescent="0.25">
      <c r="F4" s="3"/>
      <c r="G4" s="3"/>
      <c r="J4" s="1"/>
      <c r="K4" s="7"/>
      <c r="L4" s="1"/>
      <c r="N4" s="5"/>
      <c r="O4" s="4"/>
    </row>
    <row r="5" spans="1:16" x14ac:dyDescent="0.25">
      <c r="E5" s="6"/>
      <c r="F5" s="6"/>
      <c r="G5" s="6"/>
    </row>
    <row r="6" spans="1:16" x14ac:dyDescent="0.25">
      <c r="C6" t="s">
        <v>28</v>
      </c>
      <c r="D6" s="3" t="e">
        <f>SUM(D2:D3)-_xlfn.XLOOKUP("HSA", Assets[Type], Assets[Year2025])</f>
        <v>#N/A</v>
      </c>
      <c r="E6" s="3" t="e">
        <f>SUM(E2:E3)-_xlfn.XLOOKUP("HSA", Assets[Type], Assets[Year2025])</f>
        <v>#REF!</v>
      </c>
      <c r="F6" s="3" t="e">
        <f ca="1">SUM(F2:F3)-_xlfn.XLOOKUP("HSA", Assets[Type], Assets[Year2025])</f>
        <v>#REF!</v>
      </c>
      <c r="G6" s="3" t="e">
        <f ca="1">SUM(G2:G3)-_xlfn.XLOOKUP("HSA", Assets[Type], Assets[Year2026])</f>
        <v>#N/A</v>
      </c>
    </row>
    <row r="7" spans="1:16" x14ac:dyDescent="0.25">
      <c r="I7" s="12"/>
    </row>
    <row r="11" spans="1:16" x14ac:dyDescent="0.25">
      <c r="F11" s="3"/>
      <c r="G11" s="3"/>
    </row>
  </sheetData>
  <pageMargins left="0.7" right="0.7" top="0.75" bottom="0.75" header="0.3" footer="0.3"/>
  <pageSetup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K382"/>
  <sheetViews>
    <sheetView zoomScaleNormal="100" workbookViewId="0">
      <pane ySplit="1" topLeftCell="A2" activePane="bottomLeft" state="frozen"/>
      <selection activeCell="B1" sqref="B1"/>
      <selection pane="bottomLeft" activeCell="F2" sqref="F2"/>
    </sheetView>
  </sheetViews>
  <sheetFormatPr defaultRowHeight="15" x14ac:dyDescent="0.25"/>
  <cols>
    <col min="1" max="1" width="12.140625" customWidth="1"/>
    <col min="2" max="2" width="12.140625" style="3" bestFit="1" customWidth="1"/>
    <col min="3" max="3" width="18.28515625" bestFit="1" customWidth="1"/>
    <col min="4" max="4" width="15.5703125" bestFit="1" customWidth="1"/>
    <col min="5" max="5" width="13" bestFit="1" customWidth="1"/>
    <col min="6" max="6" width="27.28515625" bestFit="1" customWidth="1"/>
    <col min="7" max="7" width="16.5703125" style="10" customWidth="1"/>
    <col min="8" max="8" width="13.140625" bestFit="1" customWidth="1"/>
    <col min="9" max="9" width="10" customWidth="1"/>
    <col min="11" max="11" width="9.7109375" bestFit="1" customWidth="1"/>
  </cols>
  <sheetData>
    <row r="1" spans="1:9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s="11" t="s">
        <v>6</v>
      </c>
      <c r="H1" t="s">
        <v>7</v>
      </c>
      <c r="I1" s="6">
        <f ca="1">TODAY()</f>
        <v>46170</v>
      </c>
    </row>
    <row r="2" spans="1:9" x14ac:dyDescent="0.25">
      <c r="A2" s="6">
        <v>46023</v>
      </c>
      <c r="B2" s="3">
        <v>236.72</v>
      </c>
      <c r="D2" t="s">
        <v>8</v>
      </c>
      <c r="E2" t="s">
        <v>9</v>
      </c>
    </row>
    <row r="3" spans="1:9" x14ac:dyDescent="0.25">
      <c r="A3" s="6"/>
    </row>
    <row r="4" spans="1:9" x14ac:dyDescent="0.25">
      <c r="A4" s="6"/>
    </row>
    <row r="380" spans="1:11" x14ac:dyDescent="0.25">
      <c r="K380" s="6"/>
    </row>
    <row r="382" spans="1:11" x14ac:dyDescent="0.25">
      <c r="A382" s="6"/>
    </row>
  </sheetData>
  <dataValidations count="2">
    <dataValidation type="list" allowBlank="1" sqref="A413:A1048576 A2:A4" xr:uid="{00000000-0002-0000-0200-000000000000}">
      <formula1>$I$1</formula1>
    </dataValidation>
    <dataValidation type="list" allowBlank="1" showInputMessage="1" showErrorMessage="1" sqref="G2:G378" xr:uid="{00000000-0002-0000-0200-000001000000}">
      <formula1>"N, Y"</formula1>
    </dataValidation>
  </dataValidations>
  <pageMargins left="0.7" right="0.7" top="0.75" bottom="0.75" header="0.3" footer="0.3"/>
  <pageSetup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 assets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Jiang</dc:creator>
  <cp:lastModifiedBy>Ruidong Jiang</cp:lastModifiedBy>
  <dcterms:created xsi:type="dcterms:W3CDTF">2015-06-05T18:17:20Z</dcterms:created>
  <dcterms:modified xsi:type="dcterms:W3CDTF">2026-05-28T18:20:17Z</dcterms:modified>
</cp:coreProperties>
</file>